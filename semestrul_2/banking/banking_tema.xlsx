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mc:AlternateContent xmlns:mc="http://schemas.openxmlformats.org/markup-compatibility/2006">
    <mc:Choice Requires="x15">
      <x15ac:absPath xmlns:x15ac="http://schemas.microsoft.com/office/spreadsheetml/2010/11/ac" url="E:\Master\an1\sem2\banking\"/>
    </mc:Choice>
  </mc:AlternateContent>
  <xr:revisionPtr revIDLastSave="0" documentId="13_ncr:1_{A6A76DAF-E49C-4A09-B0E4-52D6AA8BD7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fit" sheetId="1" r:id="rId1"/>
    <sheet name="Robor_Rob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19" i="1"/>
  <c r="C23" i="1"/>
  <c r="C21" i="1"/>
  <c r="C20" i="1"/>
  <c r="C19" i="1"/>
  <c r="E23" i="1"/>
  <c r="K22" i="1"/>
  <c r="E22" i="1"/>
  <c r="K21" i="1"/>
  <c r="E21" i="1"/>
  <c r="K20" i="1"/>
  <c r="E20" i="1"/>
  <c r="K19" i="1"/>
  <c r="C26" i="1" s="1"/>
  <c r="E19" i="1"/>
  <c r="C25" i="1" s="1"/>
  <c r="K6" i="1"/>
  <c r="K5" i="1"/>
  <c r="E7" i="1"/>
  <c r="I7" i="1"/>
  <c r="K7" i="1" s="1"/>
  <c r="I4" i="1"/>
  <c r="K4" i="1" s="1"/>
  <c r="C11" i="1" s="1"/>
  <c r="C8" i="1"/>
  <c r="E8" i="1" s="1"/>
  <c r="C6" i="1"/>
  <c r="E6" i="1" s="1"/>
  <c r="C5" i="1"/>
  <c r="E5" i="1" s="1"/>
  <c r="C4" i="1"/>
  <c r="E4" i="1" s="1"/>
  <c r="C10" i="1" l="1"/>
  <c r="C12" i="1" s="1"/>
  <c r="C13" i="1" s="1"/>
  <c r="C27" i="1"/>
  <c r="C28" i="1" s="1"/>
</calcChain>
</file>

<file path=xl/sharedStrings.xml><?xml version="1.0" encoding="utf-8"?>
<sst xmlns="http://schemas.openxmlformats.org/spreadsheetml/2006/main" count="63" uniqueCount="31">
  <si>
    <t>03.09.2024</t>
  </si>
  <si>
    <t>Activ</t>
  </si>
  <si>
    <t>Pasiv</t>
  </si>
  <si>
    <t>Denumire</t>
  </si>
  <si>
    <t>Dobanda</t>
  </si>
  <si>
    <t>Valoare</t>
  </si>
  <si>
    <t>Valoare dobanda</t>
  </si>
  <si>
    <t>Depozite la alte banci comerciale</t>
  </si>
  <si>
    <t>Imprumuturi primite de la alte banci comerciale</t>
  </si>
  <si>
    <t>Cretide de trezorerie</t>
  </si>
  <si>
    <t>Conturi curente</t>
  </si>
  <si>
    <t>Cretdite ipotecare</t>
  </si>
  <si>
    <t>Depozite la termen</t>
  </si>
  <si>
    <t>Credite de consum</t>
  </si>
  <si>
    <t>Obligatiuni emise</t>
  </si>
  <si>
    <t>Obligatiuni corporative</t>
  </si>
  <si>
    <t>Capital propriu</t>
  </si>
  <si>
    <t xml:space="preserve"> </t>
  </si>
  <si>
    <t>Total valoare dobanda activ</t>
  </si>
  <si>
    <t>Total valoare dobanda pasiv</t>
  </si>
  <si>
    <t>Profit</t>
  </si>
  <si>
    <t>Profit dupa impozitare</t>
  </si>
  <si>
    <t>03.09.1999</t>
  </si>
  <si>
    <t>Data</t>
  </si>
  <si>
    <t>ROBID 1W</t>
  </si>
  <si>
    <t>ROBOR 1W</t>
  </si>
  <si>
    <t>ROBOR 1M</t>
  </si>
  <si>
    <t>ROBOR 3M</t>
  </si>
  <si>
    <t>ROBOR 6M</t>
  </si>
  <si>
    <t>Site BNR: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</si>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</sst>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dotted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dotted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CCCCCC"/>
      </right>
      <top/>
      <bottom style="medium">
        <color rgb="FFCCCCCC"/>
      </bottom>
      <diagonal/>
    </border>
    <border>
      <left style="thin">
        <color rgb="FF000000"/>
      </left>
      <right style="dotted">
        <color rgb="FFCCCCCC"/>
      </right>
      <top/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"/>
  <sheetViews>
    <sheetView tabSelected="1" zoomScaleNormal="100" workbookViewId="0">
      <selection activeCell="L28" sqref="L28"/>
    </sheetView>
  </sheetViews>
  <sheetFormatPr defaultRowHeight="15"/>
  <cols>
    <col min="1" max="1" width="5.7109375" customWidth="1"/>
    <col min="2" max="2" width="20.7109375" customWidth="1"/>
    <col min="3" max="5" width="15.7109375" customWidth="1"/>
    <col min="6" max="7" width="5.7109375" customWidth="1"/>
    <col min="8" max="8" width="20.7109375" customWidth="1"/>
    <col min="9" max="11" width="15.7109375" customWidth="1"/>
    <col min="12" max="12" width="5.7109375" customWidth="1"/>
    <col min="13" max="13" width="7.85546875" bestFit="1" customWidth="1"/>
    <col min="17" max="17" width="10.5703125" bestFit="1" customWidth="1"/>
    <col min="18" max="18" width="9.85546875" bestFit="1" customWidth="1"/>
    <col min="19" max="19" width="10.5703125" bestFit="1" customWidth="1"/>
    <col min="20" max="22" width="10.42578125" bestFit="1" customWidth="1"/>
  </cols>
  <sheetData>
    <row r="1" spans="1:42" ht="20.100000000000001" customHeight="1">
      <c r="A1" s="7"/>
      <c r="B1" s="12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42" ht="20.100000000000001" customHeight="1">
      <c r="A2" s="7"/>
      <c r="B2" s="24" t="s">
        <v>1</v>
      </c>
      <c r="C2" s="24"/>
      <c r="D2" s="24"/>
      <c r="E2" s="24"/>
      <c r="F2" s="7"/>
      <c r="G2" s="7"/>
      <c r="H2" s="24" t="s">
        <v>2</v>
      </c>
      <c r="I2" s="24"/>
      <c r="J2" s="24"/>
      <c r="K2" s="24"/>
      <c r="L2" s="7"/>
    </row>
    <row r="3" spans="1:42" ht="31.5">
      <c r="A3" s="7"/>
      <c r="B3" s="4" t="s">
        <v>3</v>
      </c>
      <c r="C3" s="4" t="s">
        <v>4</v>
      </c>
      <c r="D3" s="4" t="s">
        <v>5</v>
      </c>
      <c r="E3" s="4" t="s">
        <v>6</v>
      </c>
      <c r="F3" s="7"/>
      <c r="G3" s="7"/>
      <c r="H3" s="4" t="s">
        <v>3</v>
      </c>
      <c r="I3" s="4" t="s">
        <v>4</v>
      </c>
      <c r="J3" s="4" t="s">
        <v>5</v>
      </c>
      <c r="K3" s="4" t="s">
        <v>6</v>
      </c>
      <c r="L3" s="7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30" customHeight="1">
      <c r="A4" s="7"/>
      <c r="B4" s="2" t="s">
        <v>7</v>
      </c>
      <c r="C4" s="5">
        <f>Robor_Robid!B2</f>
        <v>5.24</v>
      </c>
      <c r="D4" s="5">
        <v>1500</v>
      </c>
      <c r="E4" s="5">
        <f>C4*D4/100</f>
        <v>78.599999999999994</v>
      </c>
      <c r="F4" s="7"/>
      <c r="G4" s="7"/>
      <c r="H4" s="2" t="s">
        <v>8</v>
      </c>
      <c r="I4" s="5">
        <f>Robor_Robid!C2</f>
        <v>5.53</v>
      </c>
      <c r="J4" s="5">
        <v>3500</v>
      </c>
      <c r="K4" s="5">
        <f>I4*J4/100</f>
        <v>193.55</v>
      </c>
      <c r="L4" s="7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30" customHeight="1">
      <c r="A5" s="7"/>
      <c r="B5" s="2" t="s">
        <v>9</v>
      </c>
      <c r="C5" s="5">
        <f>Robor_Robid!D2+2</f>
        <v>7.53</v>
      </c>
      <c r="D5" s="5">
        <v>17500</v>
      </c>
      <c r="E5" s="5">
        <f t="shared" ref="E5:E8" si="0">C5*D5/100</f>
        <v>1317.75</v>
      </c>
      <c r="F5" s="7"/>
      <c r="G5" s="7"/>
      <c r="H5" s="2" t="s">
        <v>10</v>
      </c>
      <c r="I5" s="5">
        <v>0.5</v>
      </c>
      <c r="J5" s="5">
        <v>21000</v>
      </c>
      <c r="K5" s="5">
        <f t="shared" ref="K5:K7" si="1">I5*J5/100</f>
        <v>105</v>
      </c>
      <c r="L5" s="7"/>
    </row>
    <row r="6" spans="1:42" ht="30" customHeight="1">
      <c r="A6" s="7"/>
      <c r="B6" s="2" t="s">
        <v>11</v>
      </c>
      <c r="C6" s="5">
        <f>Robor_Robid!F2+1</f>
        <v>6.61</v>
      </c>
      <c r="D6" s="5">
        <v>22000</v>
      </c>
      <c r="E6" s="5">
        <f t="shared" si="0"/>
        <v>1454.2</v>
      </c>
      <c r="F6" s="7"/>
      <c r="G6" s="7"/>
      <c r="H6" s="2" t="s">
        <v>12</v>
      </c>
      <c r="I6" s="5">
        <v>6.5</v>
      </c>
      <c r="J6" s="5">
        <v>22000</v>
      </c>
      <c r="K6" s="5">
        <f t="shared" si="1"/>
        <v>1430</v>
      </c>
      <c r="L6" s="7"/>
    </row>
    <row r="7" spans="1:42" ht="30" customHeight="1">
      <c r="A7" s="7"/>
      <c r="B7" s="3" t="s">
        <v>13</v>
      </c>
      <c r="C7" s="6">
        <v>15</v>
      </c>
      <c r="D7" s="6">
        <v>17000</v>
      </c>
      <c r="E7" s="5">
        <f t="shared" si="0"/>
        <v>2550</v>
      </c>
      <c r="F7" s="7"/>
      <c r="G7" s="7"/>
      <c r="H7" s="2" t="s">
        <v>14</v>
      </c>
      <c r="I7" s="5">
        <f>Robor_Robid!E2+1</f>
        <v>6.55</v>
      </c>
      <c r="J7" s="5">
        <v>4500</v>
      </c>
      <c r="K7" s="5">
        <f t="shared" si="1"/>
        <v>294.75</v>
      </c>
      <c r="L7" s="7"/>
    </row>
    <row r="8" spans="1:42" ht="30" customHeight="1">
      <c r="A8" s="7"/>
      <c r="B8" s="3" t="s">
        <v>15</v>
      </c>
      <c r="C8" s="6">
        <f>Robor_Robid!F2+2</f>
        <v>7.61</v>
      </c>
      <c r="D8" s="6">
        <v>3000</v>
      </c>
      <c r="E8" s="5">
        <f t="shared" si="0"/>
        <v>228.3</v>
      </c>
      <c r="F8" s="7"/>
      <c r="G8" s="7"/>
      <c r="H8" s="2" t="s">
        <v>16</v>
      </c>
      <c r="I8" s="5" t="s">
        <v>17</v>
      </c>
      <c r="J8" s="5">
        <v>10000</v>
      </c>
      <c r="K8" s="5"/>
      <c r="L8" s="7"/>
    </row>
    <row r="9" spans="1:42" ht="20.100000000000001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42" ht="30" customHeight="1">
      <c r="B10" s="9" t="s">
        <v>18</v>
      </c>
      <c r="C10" s="5">
        <f>SUM(E4:E8)</f>
        <v>5628.85</v>
      </c>
    </row>
    <row r="11" spans="1:42" ht="30">
      <c r="B11" s="9" t="s">
        <v>19</v>
      </c>
      <c r="C11" s="5">
        <f>SUM(K4:K8)</f>
        <v>2023.3</v>
      </c>
    </row>
    <row r="12" spans="1:42" ht="30" customHeight="1">
      <c r="B12" s="10" t="s">
        <v>20</v>
      </c>
      <c r="C12" s="5">
        <f>C10-C11</f>
        <v>3605.55</v>
      </c>
    </row>
    <row r="13" spans="1:42" ht="30" customHeight="1">
      <c r="B13" s="11" t="s">
        <v>21</v>
      </c>
      <c r="C13" s="8">
        <f>0.9*C12</f>
        <v>3244.9950000000003</v>
      </c>
    </row>
    <row r="16" spans="1:42" ht="20.100000000000001" customHeight="1">
      <c r="A16" s="7"/>
      <c r="B16" s="12" t="s">
        <v>22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3" ht="20.100000000000001" customHeight="1">
      <c r="A17" s="7"/>
      <c r="B17" s="24" t="s">
        <v>1</v>
      </c>
      <c r="C17" s="24"/>
      <c r="D17" s="24"/>
      <c r="E17" s="24"/>
      <c r="F17" s="7"/>
      <c r="G17" s="7"/>
      <c r="H17" s="24" t="s">
        <v>2</v>
      </c>
      <c r="I17" s="24"/>
      <c r="J17" s="24"/>
      <c r="K17" s="24"/>
      <c r="L17" s="7"/>
    </row>
    <row r="18" spans="1:13" ht="30" customHeight="1">
      <c r="A18" s="7"/>
      <c r="B18" s="4" t="s">
        <v>3</v>
      </c>
      <c r="C18" s="4" t="s">
        <v>4</v>
      </c>
      <c r="D18" s="4" t="s">
        <v>5</v>
      </c>
      <c r="E18" s="4" t="s">
        <v>6</v>
      </c>
      <c r="F18" s="7"/>
      <c r="G18" s="7"/>
      <c r="H18" s="4" t="s">
        <v>3</v>
      </c>
      <c r="I18" s="4" t="s">
        <v>4</v>
      </c>
      <c r="J18" s="4" t="s">
        <v>5</v>
      </c>
      <c r="K18" s="4" t="s">
        <v>6</v>
      </c>
      <c r="L18" s="7"/>
    </row>
    <row r="19" spans="1:13" ht="30" customHeight="1">
      <c r="A19" s="7"/>
      <c r="B19" s="2" t="s">
        <v>7</v>
      </c>
      <c r="C19" s="5">
        <f>Robor_Robid!B3</f>
        <v>32.21</v>
      </c>
      <c r="D19" s="5">
        <v>1500</v>
      </c>
      <c r="E19" s="5">
        <f>C19*D19/100</f>
        <v>483.15</v>
      </c>
      <c r="F19" s="7"/>
      <c r="G19" s="7"/>
      <c r="H19" s="2" t="s">
        <v>8</v>
      </c>
      <c r="I19" s="5">
        <f>Robor_Robid!C3</f>
        <v>62.86</v>
      </c>
      <c r="J19" s="5">
        <v>3500</v>
      </c>
      <c r="K19" s="5">
        <f>I19*J19/100</f>
        <v>2200.1</v>
      </c>
      <c r="L19" s="7"/>
    </row>
    <row r="20" spans="1:13" ht="30" customHeight="1">
      <c r="A20" s="7"/>
      <c r="B20" s="2" t="s">
        <v>9</v>
      </c>
      <c r="C20" s="5">
        <f>Robor_Robid!D3+2</f>
        <v>79.75</v>
      </c>
      <c r="D20" s="5">
        <v>17500</v>
      </c>
      <c r="E20" s="5">
        <f t="shared" ref="E20:E23" si="2">C20*D20/100</f>
        <v>13956.25</v>
      </c>
      <c r="F20" s="7"/>
      <c r="G20" s="7"/>
      <c r="H20" s="2" t="s">
        <v>10</v>
      </c>
      <c r="I20" s="5">
        <v>0.5</v>
      </c>
      <c r="J20" s="5">
        <v>21000</v>
      </c>
      <c r="K20" s="5">
        <f t="shared" ref="K20:K22" si="3">I20*J20/100</f>
        <v>105</v>
      </c>
      <c r="L20" s="7"/>
    </row>
    <row r="21" spans="1:13" ht="30" customHeight="1">
      <c r="A21" s="7"/>
      <c r="B21" s="2" t="s">
        <v>11</v>
      </c>
      <c r="C21" s="5">
        <f>Robor_Robid!F3+1</f>
        <v>84.43</v>
      </c>
      <c r="D21" s="5">
        <v>22000</v>
      </c>
      <c r="E21" s="5">
        <f t="shared" si="2"/>
        <v>18574.600000000002</v>
      </c>
      <c r="F21" s="7"/>
      <c r="G21" s="7"/>
      <c r="H21" s="2" t="s">
        <v>12</v>
      </c>
      <c r="I21" s="5">
        <v>6.5</v>
      </c>
      <c r="J21" s="5">
        <v>22000</v>
      </c>
      <c r="K21" s="5">
        <f t="shared" si="3"/>
        <v>1430</v>
      </c>
      <c r="L21" s="7"/>
    </row>
    <row r="22" spans="1:13" ht="30" customHeight="1">
      <c r="A22" s="7"/>
      <c r="B22" s="3" t="s">
        <v>13</v>
      </c>
      <c r="C22" s="6">
        <v>15</v>
      </c>
      <c r="D22" s="6">
        <v>17000</v>
      </c>
      <c r="E22" s="5">
        <f t="shared" si="2"/>
        <v>2550</v>
      </c>
      <c r="F22" s="7"/>
      <c r="G22" s="7"/>
      <c r="H22" s="2" t="s">
        <v>14</v>
      </c>
      <c r="I22" s="5">
        <f>Robor_Robid!E3+1</f>
        <v>84.46</v>
      </c>
      <c r="J22" s="5">
        <v>4500</v>
      </c>
      <c r="K22" s="5">
        <f t="shared" si="3"/>
        <v>3800.7</v>
      </c>
      <c r="L22" s="7"/>
    </row>
    <row r="23" spans="1:13" ht="30" customHeight="1">
      <c r="A23" s="7"/>
      <c r="B23" s="3" t="s">
        <v>15</v>
      </c>
      <c r="C23" s="6">
        <f>Robor_Robid!F3+2</f>
        <v>85.43</v>
      </c>
      <c r="D23" s="6">
        <v>3000</v>
      </c>
      <c r="E23" s="5">
        <f t="shared" si="2"/>
        <v>2562.9</v>
      </c>
      <c r="F23" s="7"/>
      <c r="G23" s="7"/>
      <c r="H23" s="2" t="s">
        <v>16</v>
      </c>
      <c r="I23" s="5" t="s">
        <v>17</v>
      </c>
      <c r="J23" s="5">
        <v>10000</v>
      </c>
      <c r="K23" s="5"/>
      <c r="L23" s="7"/>
    </row>
    <row r="24" spans="1:13" ht="20.100000000000001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3" ht="30" customHeight="1">
      <c r="B25" s="9" t="s">
        <v>18</v>
      </c>
      <c r="C25" s="5">
        <f>SUM(E19:E23)</f>
        <v>38126.9</v>
      </c>
    </row>
    <row r="26" spans="1:13" ht="30" customHeight="1">
      <c r="B26" s="9" t="s">
        <v>19</v>
      </c>
      <c r="C26" s="5">
        <f>SUM(K19:K23)</f>
        <v>7535.7999999999993</v>
      </c>
    </row>
    <row r="27" spans="1:13" ht="30" customHeight="1">
      <c r="B27" s="10" t="s">
        <v>20</v>
      </c>
      <c r="C27" s="5">
        <f>C25-C26</f>
        <v>30591.100000000002</v>
      </c>
    </row>
    <row r="28" spans="1:13" ht="30" customHeight="1">
      <c r="B28" s="11" t="s">
        <v>21</v>
      </c>
      <c r="C28" s="8">
        <f>0.9*C27</f>
        <v>27531.99</v>
      </c>
    </row>
    <row r="30" spans="1:13">
      <c r="M30" s="1"/>
    </row>
  </sheetData>
  <mergeCells count="4">
    <mergeCell ref="B2:E2"/>
    <mergeCell ref="H2:K2"/>
    <mergeCell ref="B17:E17"/>
    <mergeCell ref="H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C1DE-06D2-46ED-9AA1-A99C8E3E3110}">
  <sheetPr>
    <tabColor theme="4" tint="-0.249977111117893"/>
  </sheetPr>
  <dimension ref="A1:R12"/>
  <sheetViews>
    <sheetView workbookViewId="0">
      <selection activeCell="Q15" sqref="Q15"/>
    </sheetView>
  </sheetViews>
  <sheetFormatPr defaultRowHeight="15"/>
  <cols>
    <col min="1" max="6" width="15.7109375" customWidth="1"/>
  </cols>
  <sheetData>
    <row r="1" spans="1:18" ht="30" customHeight="1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</row>
    <row r="2" spans="1:18" ht="30" customHeight="1">
      <c r="A2" s="13" t="s">
        <v>0</v>
      </c>
      <c r="B2" s="5">
        <v>5.24</v>
      </c>
      <c r="C2" s="5">
        <v>5.53</v>
      </c>
      <c r="D2" s="5">
        <v>5.53</v>
      </c>
      <c r="E2" s="5">
        <v>5.55</v>
      </c>
      <c r="F2" s="5">
        <v>5.61</v>
      </c>
    </row>
    <row r="3" spans="1:18" ht="30" customHeight="1">
      <c r="A3" s="13" t="s">
        <v>22</v>
      </c>
      <c r="B3" s="5">
        <v>32.21</v>
      </c>
      <c r="C3" s="5">
        <v>62.86</v>
      </c>
      <c r="D3" s="5">
        <v>77.75</v>
      </c>
      <c r="E3" s="5">
        <v>83.46</v>
      </c>
      <c r="F3" s="5">
        <v>83.43</v>
      </c>
    </row>
    <row r="6" spans="1:18" ht="15.75" thickBot="1">
      <c r="A6" t="s">
        <v>29</v>
      </c>
      <c r="D6" s="5"/>
    </row>
    <row r="7" spans="1:18" ht="15.75" thickBot="1">
      <c r="A7" s="15">
        <v>5.23</v>
      </c>
      <c r="B7" s="16">
        <v>5.23</v>
      </c>
      <c r="C7" s="17">
        <v>5.24</v>
      </c>
      <c r="D7" s="16">
        <v>5.24</v>
      </c>
      <c r="E7" s="16">
        <v>5.26</v>
      </c>
      <c r="F7" s="16">
        <v>5.28</v>
      </c>
      <c r="G7" s="16" t="s">
        <v>30</v>
      </c>
      <c r="H7" s="16">
        <v>5.3</v>
      </c>
      <c r="I7" s="16">
        <v>5.52</v>
      </c>
      <c r="J7" s="16">
        <v>5.52</v>
      </c>
      <c r="K7" s="17">
        <v>5.53</v>
      </c>
      <c r="L7" s="17">
        <v>5.53</v>
      </c>
      <c r="M7" s="17">
        <v>5.55</v>
      </c>
      <c r="N7" s="17">
        <v>5.61</v>
      </c>
      <c r="O7" s="16" t="s">
        <v>30</v>
      </c>
      <c r="P7" s="18">
        <v>5.65</v>
      </c>
      <c r="R7">
        <v>2024</v>
      </c>
    </row>
    <row r="8" spans="1:18" ht="15.75" thickBot="1">
      <c r="A8" s="19">
        <v>17.39</v>
      </c>
      <c r="B8" s="20">
        <v>18.21</v>
      </c>
      <c r="C8" s="22">
        <v>32.21</v>
      </c>
      <c r="D8" s="20">
        <v>46.25</v>
      </c>
      <c r="E8" s="20">
        <v>52.93</v>
      </c>
      <c r="F8" s="20">
        <v>51.21</v>
      </c>
      <c r="G8" s="20">
        <v>48.96</v>
      </c>
      <c r="H8" s="20">
        <v>48</v>
      </c>
      <c r="I8" s="20">
        <v>48.85</v>
      </c>
      <c r="J8" s="20">
        <v>51</v>
      </c>
      <c r="K8" s="22">
        <v>62.86</v>
      </c>
      <c r="L8" s="22">
        <v>77.75</v>
      </c>
      <c r="M8" s="22">
        <v>83.46</v>
      </c>
      <c r="N8" s="22">
        <v>83.43</v>
      </c>
      <c r="O8" s="20">
        <v>81.5</v>
      </c>
      <c r="P8" s="21">
        <v>81.680000000000007</v>
      </c>
      <c r="R8">
        <v>1999</v>
      </c>
    </row>
    <row r="12" spans="1:18" ht="30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02ea317-9120-462c-b834-44fa35be53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9838F8A4A6E419A1CB85941B3C610" ma:contentTypeVersion="4" ma:contentTypeDescription="Create a new document." ma:contentTypeScope="" ma:versionID="7daa5dab6fba0e1e6c5c8fce1159b243">
  <xsd:schema xmlns:xsd="http://www.w3.org/2001/XMLSchema" xmlns:xs="http://www.w3.org/2001/XMLSchema" xmlns:p="http://schemas.microsoft.com/office/2006/metadata/properties" xmlns:ns2="302ea317-9120-462c-b834-44fa35be53f8" targetNamespace="http://schemas.microsoft.com/office/2006/metadata/properties" ma:root="true" ma:fieldsID="f97af417824b242af1d5af44b867ddad" ns2:_="">
    <xsd:import namespace="302ea317-9120-462c-b834-44fa35be53f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ea317-9120-462c-b834-44fa35be53f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13A687-726E-4EB7-84FA-C17C45920FA9}"/>
</file>

<file path=customXml/itemProps2.xml><?xml version="1.0" encoding="utf-8"?>
<ds:datastoreItem xmlns:ds="http://schemas.openxmlformats.org/officeDocument/2006/customXml" ds:itemID="{001F6969-6FB9-4F5F-B982-F28EE45F428E}"/>
</file>

<file path=customXml/itemProps3.xml><?xml version="1.0" encoding="utf-8"?>
<ds:datastoreItem xmlns:ds="http://schemas.openxmlformats.org/officeDocument/2006/customXml" ds:itemID="{A7594A11-A0B6-47FA-A3BE-6145F37837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Cojocaru Eugeniu</dc:creator>
  <cp:keywords/>
  <dc:description/>
  <cp:lastModifiedBy>Ioan-Alin Nistor</cp:lastModifiedBy>
  <cp:revision/>
  <dcterms:created xsi:type="dcterms:W3CDTF">2015-06-05T18:17:20Z</dcterms:created>
  <dcterms:modified xsi:type="dcterms:W3CDTF">2025-06-27T13:58:50Z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0x0101007059838F8A4A6E419A1CB85941B3C610</vt:lpwstr>
  </property>
</Properties>
</file>