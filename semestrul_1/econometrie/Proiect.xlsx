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/>
  <mc:AlternateContent xmlns:mc="http://schemas.openxmlformats.org/markup-compatibility/2006">
    <mc:Choice Requires="x15">
      <x15ac:absPath xmlns:x15ac="http://schemas.microsoft.com/office/spreadsheetml/2010/11/ac" url="C:\Users\Eugeniu Cojocaru\Desktop\Econometrie\"/>
    </mc:Choice>
  </mc:AlternateContent>
  <xr:revisionPtr revIDLastSave="0" documentId="13_ncr:1_{A8F1B61A-384A-48C9-90CE-9DD83FCA47C9}" xr6:coauthVersionLast="47" xr6:coauthVersionMax="47" xr10:uidLastSave="{00000000-0000-0000-0000-000000000000}"/>
  <bookViews>
    <workbookView xWindow="-28920" yWindow="-120" windowWidth="29040" windowHeight="1599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1" l="1"/>
  <c r="H20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" i="1"/>
  <c r="G20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" i="1"/>
  <c r="M19" i="1"/>
  <c r="M18" i="1"/>
  <c r="Q19" i="1"/>
  <c r="Q18" i="1"/>
  <c r="O19" i="1"/>
  <c r="O18" i="1"/>
  <c r="K19" i="1"/>
  <c r="K18" i="1"/>
  <c r="Q17" i="1"/>
  <c r="O17" i="1"/>
  <c r="M17" i="1"/>
  <c r="K17" i="1"/>
</calcChain>
</file>

<file path=xl/sharedStrings.xml><?xml version="1.0" encoding="utf-8"?>
<sst xmlns="http://schemas.openxmlformats.org/spreadsheetml/2006/main" count="118" uniqueCount="67">
  <si>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</si>
  <si>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</si>
  <si>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</si>
  <si>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</si>
  <si>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</si>
  <si>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</si>
  <si>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</si>
  <si>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</si>
  <si>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</si>
  <si>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</si>
  <si>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</si>
  <si>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</si>
  <si>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2005</t>
  </si>
  <si>
    <t>2006</t>
  </si>
  <si>
    <t>2007</t>
  </si>
  <si>
    <t>2008</t>
  </si>
  <si>
    <t>2009</t>
  </si>
  <si>
    <t>2010</t>
  </si>
  <si>
    <t>WMV</t>
  </si>
  <si>
    <t>NRAB</t>
  </si>
  <si>
    <t>Legenda</t>
  </si>
  <si>
    <r>
      <rPr>
        <b/>
        <sz val="11"/>
        <color theme="1"/>
        <rFont val="Calibri"/>
        <family val="2"/>
        <scheme val="minor"/>
      </rPr>
      <t>WMV</t>
    </r>
    <r>
      <rPr>
        <sz val="11"/>
        <color theme="1"/>
        <rFont val="Calibri"/>
        <family val="2"/>
        <scheme val="minor"/>
      </rPr>
      <t xml:space="preserve"> = Online PC gaming market value worldwide (billion U.S. $)</t>
    </r>
  </si>
  <si>
    <r>
      <rPr>
        <b/>
        <sz val="11"/>
        <color theme="1"/>
        <rFont val="Calibri"/>
        <family val="2"/>
        <scheme val="minor"/>
      </rPr>
      <t>EMEA</t>
    </r>
    <r>
      <rPr>
        <sz val="11"/>
        <color theme="1"/>
        <rFont val="Calibri"/>
        <family val="2"/>
        <scheme val="minor"/>
      </rPr>
      <t xml:space="preserve"> = Europe, Middle East, Africa</t>
    </r>
  </si>
  <si>
    <t>NRABE</t>
  </si>
  <si>
    <r>
      <rPr>
        <b/>
        <sz val="11"/>
        <color theme="1"/>
        <rFont val="Calibri"/>
        <family val="2"/>
        <scheme val="minor"/>
      </rPr>
      <t>NRAB</t>
    </r>
    <r>
      <rPr>
        <sz val="11"/>
        <color theme="1"/>
        <rFont val="Calibri"/>
        <family val="2"/>
        <scheme val="minor"/>
      </rPr>
      <t xml:space="preserve"> =  Net Revenue of Activision Blizzard (billion U.S $) </t>
    </r>
  </si>
  <si>
    <r>
      <rPr>
        <b/>
        <sz val="11"/>
        <color theme="1"/>
        <rFont val="Calibri"/>
        <family val="2"/>
        <scheme val="minor"/>
      </rPr>
      <t>SIGPR</t>
    </r>
    <r>
      <rPr>
        <sz val="11"/>
        <color theme="1"/>
        <rFont val="Calibri"/>
        <family val="2"/>
        <scheme val="minor"/>
      </rPr>
      <t xml:space="preserve"> = Subscription and In-Game Purchases Revenue (billion U.S $) </t>
    </r>
  </si>
  <si>
    <t>SIGPR</t>
  </si>
  <si>
    <r>
      <rPr>
        <b/>
        <sz val="11"/>
        <color theme="1"/>
        <rFont val="Calibri"/>
        <family val="2"/>
        <scheme val="minor"/>
      </rPr>
      <t>NRABE</t>
    </r>
    <r>
      <rPr>
        <sz val="11"/>
        <color theme="1"/>
        <rFont val="Calibri"/>
        <family val="2"/>
        <scheme val="minor"/>
      </rPr>
      <t xml:space="preserve"> = Net Revenue of Activision Blizzard in EMEA (billion U.S $) </t>
    </r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</si>
  <si>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</si>
  <si>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</si>
  <si>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</si>
  <si>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</si>
  <si>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</si>
  <si>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</si>
  <si>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</si>
  <si>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</si>
  <si>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</si>
  <si>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</si>
  <si>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</si>
  <si>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</si>
  <si>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</si>
  <si>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Confidence Level(95.0%)</t>
  </si>
  <si>
    <t>Coeficient variatie</t>
  </si>
  <si>
    <t>Limita inferioara</t>
  </si>
  <si>
    <t>Limita superioara</t>
  </si>
  <si>
    <t>SUMMARY OUTPUT</t>
  </si>
  <si>
    <t>Regression Statistics</t>
  </si>
  <si>
    <t>Multiple R</t>
  </si>
  <si>
    <t>R Square</t>
  </si>
  <si>
    <t>Adjusted R Square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</si>
  <si>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</si>
  <si>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</si>
  <si>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</si>
  <si>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</si>
  <si>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</si>
  <si>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</si>
  <si>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</si>
  <si>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</si>
  <si>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</si>
  <si>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</si>
  <si>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</si>
  <si>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</si>
  <si>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</si>
  <si>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</si>
  <si>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AN</t>
  </si>
  <si>
    <t>NRAB%WMV</t>
  </si>
  <si>
    <t>NRABE%NRAB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</si>
</sst>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0"/>
    <numFmt numFmtId="165" formatCode="0.0000"/>
    <numFmt numFmtId="166" formatCode="0.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3">
    <xf numFmtId="0" fontId="0" fillId="0" borderId="0"/>
    <xf numFmtId="0" fontId="2" fillId="0" borderId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24">
    <xf numFmtId="0" fontId="0" fillId="0" borderId="0" xfId="0"/>
    <xf numFmtId="0" fontId="2" fillId="0" borderId="0" xfId="1" applyAlignment="1">
      <alignment horizontal="left" vertical="center"/>
    </xf>
    <xf numFmtId="4" fontId="2" fillId="0" borderId="0" xfId="1" applyNumberFormat="1" applyAlignment="1">
      <alignment horizontal="right" vertical="center"/>
    </xf>
    <xf numFmtId="3" fontId="2" fillId="0" borderId="0" xfId="1" applyNumberFormat="1" applyAlignment="1">
      <alignment horizontal="right" vertical="center"/>
    </xf>
    <xf numFmtId="0" fontId="2" fillId="0" borderId="0" xfId="1" applyAlignment="1">
      <alignment horizontal="left" vertical="center"/>
    </xf>
    <xf numFmtId="0" fontId="3" fillId="0" borderId="0" xfId="1" applyFont="1" applyFill="1" applyAlignment="1">
      <alignment horizontal="left" vertical="center"/>
    </xf>
    <xf numFmtId="164" fontId="2" fillId="0" borderId="0" xfId="1" applyNumberFormat="1" applyAlignment="1">
      <alignment horizontal="right" vertical="center"/>
    </xf>
    <xf numFmtId="165" fontId="0" fillId="0" borderId="0" xfId="0" applyNumberFormat="1"/>
    <xf numFmtId="166" fontId="0" fillId="0" borderId="0" xfId="0" applyNumberFormat="1"/>
    <xf numFmtId="166" fontId="0" fillId="0" borderId="0" xfId="0" applyNumberFormat="1" applyAlignment="1">
      <alignment horizontal="right" vertical="center"/>
    </xf>
    <xf numFmtId="0" fontId="0" fillId="0" borderId="0" xfId="0" applyFill="1" applyBorder="1" applyAlignment="1"/>
    <xf numFmtId="0" fontId="0" fillId="0" borderId="1" xfId="0" applyFill="1" applyBorder="1" applyAlignment="1"/>
    <xf numFmtId="0" fontId="4" fillId="0" borderId="2" xfId="0" applyFont="1" applyFill="1" applyBorder="1" applyAlignment="1">
      <alignment horizontal="center"/>
    </xf>
    <xf numFmtId="0" fontId="4" fillId="0" borderId="2" xfId="0" applyFont="1" applyFill="1" applyBorder="1" applyAlignment="1">
      <alignment horizontal="centerContinuous"/>
    </xf>
    <xf numFmtId="0" fontId="4" fillId="2" borderId="2" xfId="0" applyFont="1" applyFill="1" applyBorder="1" applyAlignment="1">
      <alignment horizontal="center"/>
    </xf>
    <xf numFmtId="0" fontId="0" fillId="2" borderId="4" xfId="0" applyFill="1" applyBorder="1"/>
    <xf numFmtId="0" fontId="1" fillId="2" borderId="4" xfId="0" applyFont="1" applyFill="1" applyBorder="1"/>
    <xf numFmtId="0" fontId="4" fillId="2" borderId="5" xfId="0" applyFont="1" applyFill="1" applyBorder="1" applyAlignment="1">
      <alignment horizontal="center"/>
    </xf>
    <xf numFmtId="0" fontId="0" fillId="0" borderId="6" xfId="0" applyFill="1" applyBorder="1" applyAlignment="1"/>
    <xf numFmtId="0" fontId="0" fillId="0" borderId="7" xfId="0" applyFill="1" applyBorder="1" applyAlignment="1"/>
    <xf numFmtId="0" fontId="0" fillId="0" borderId="3" xfId="0" applyFill="1" applyBorder="1" applyAlignment="1"/>
    <xf numFmtId="0" fontId="0" fillId="0" borderId="7" xfId="0" applyBorder="1"/>
    <xf numFmtId="165" fontId="0" fillId="0" borderId="7" xfId="0" applyNumberFormat="1" applyBorder="1"/>
    <xf numFmtId="0" fontId="1" fillId="2" borderId="8" xfId="0" applyFont="1" applyFill="1" applyBorder="1"/>
  </cellXfs>
  <cellStyles count="13">
    <cellStyle name="Comma [0] 2" xfId="6" xr:uid="{50CC42F7-53D0-4EAE-A052-ED212A94CFBB}"/>
    <cellStyle name="Comma 2" xfId="5" xr:uid="{BB09D23C-6A4A-464A-96D0-BD3BFE3EB489}"/>
    <cellStyle name="Comma 3" xfId="8" xr:uid="{96F54DE2-31E5-4287-82BA-FFC41D20A3A5}"/>
    <cellStyle name="Comma 4" xfId="11" xr:uid="{4A072672-9702-49C0-A219-07E8BC26E67A}"/>
    <cellStyle name="Comma 5" xfId="12" xr:uid="{92D97EA9-1C2C-4F85-AC05-34C815E636BE}"/>
    <cellStyle name="Currency [0] 2" xfId="4" xr:uid="{D3DE52C5-6ED5-4ACC-858F-4F046E2AA312}"/>
    <cellStyle name="Currency 2" xfId="3" xr:uid="{FD25D68F-0FC9-4474-97EE-C570D81FCD0B}"/>
    <cellStyle name="Currency 3" xfId="7" xr:uid="{96DC92D0-5EA5-4EEB-9BF7-5DF194193912}"/>
    <cellStyle name="Currency 4" xfId="9" xr:uid="{24A64901-CD5D-4616-86BF-59FA1322EEC7}"/>
    <cellStyle name="Currency 5" xfId="10" xr:uid="{1F6911C1-27AB-4659-A3A3-01424FD6BA05}"/>
    <cellStyle name="Normal" xfId="0" builtinId="0"/>
    <cellStyle name="Normal 2" xfId="1" xr:uid="{051800C3-31D5-49D0-877E-C47D97B00D05}"/>
    <cellStyle name="Percent 2" xfId="2" xr:uid="{93676B4A-EB6B-4C80-8490-FAFE7A2D5B2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1"/>
  <sheetViews>
    <sheetView tabSelected="1" zoomScale="70" zoomScaleNormal="70" workbookViewId="0">
      <selection activeCell="R15" sqref="R15"/>
    </sheetView>
  </sheetViews>
  <sheetFormatPr defaultRowHeight="15" x14ac:dyDescent="0.25"/>
  <cols>
    <col min="2" max="2" width="12" customWidth="1"/>
    <col min="3" max="3" width="12.5703125" customWidth="1"/>
    <col min="4" max="4" width="12.140625" customWidth="1"/>
    <col min="7" max="7" width="13.42578125" bestFit="1" customWidth="1"/>
    <col min="8" max="8" width="23.28515625" bestFit="1" customWidth="1"/>
    <col min="9" max="9" width="13" bestFit="1" customWidth="1"/>
    <col min="10" max="10" width="23.28515625" bestFit="1" customWidth="1"/>
    <col min="11" max="11" width="13" bestFit="1" customWidth="1"/>
    <col min="12" max="12" width="23.28515625" bestFit="1" customWidth="1"/>
    <col min="13" max="13" width="13" bestFit="1" customWidth="1"/>
    <col min="14" max="14" width="23.28515625" bestFit="1" customWidth="1"/>
    <col min="15" max="15" width="13" bestFit="1" customWidth="1"/>
    <col min="16" max="16" width="23.28515625" bestFit="1" customWidth="1"/>
    <col min="17" max="17" width="18" bestFit="1" customWidth="1"/>
    <col min="18" max="18" width="12.7109375" bestFit="1" customWidth="1"/>
    <col min="19" max="19" width="14.5703125" bestFit="1" customWidth="1"/>
    <col min="20" max="20" width="12.7109375" bestFit="1" customWidth="1"/>
    <col min="21" max="21" width="12" bestFit="1" customWidth="1"/>
    <col min="22" max="22" width="13.42578125" bestFit="1" customWidth="1"/>
  </cols>
  <sheetData>
    <row r="1" spans="1:17" ht="15.75" thickBot="1" x14ac:dyDescent="0.3">
      <c r="A1" s="15" t="s">
        <v>64</v>
      </c>
      <c r="B1" s="16" t="s">
        <v>18</v>
      </c>
      <c r="C1" s="16" t="s">
        <v>19</v>
      </c>
      <c r="D1" s="16" t="s">
        <v>23</v>
      </c>
      <c r="E1" s="16" t="s">
        <v>26</v>
      </c>
      <c r="G1" s="23" t="s">
        <v>65</v>
      </c>
      <c r="H1" s="23" t="s">
        <v>66</v>
      </c>
      <c r="J1" s="14" t="s">
        <v>18</v>
      </c>
      <c r="K1" s="17"/>
      <c r="L1" s="14" t="s">
        <v>19</v>
      </c>
      <c r="M1" s="17"/>
      <c r="N1" s="14" t="s">
        <v>23</v>
      </c>
      <c r="O1" s="17"/>
      <c r="P1" s="14" t="s">
        <v>26</v>
      </c>
      <c r="Q1" s="14"/>
    </row>
    <row r="2" spans="1:17" x14ac:dyDescent="0.25">
      <c r="A2" s="4" t="s">
        <v>12</v>
      </c>
      <c r="B2">
        <v>10.199999999999999</v>
      </c>
      <c r="C2" s="6">
        <v>1.413</v>
      </c>
      <c r="D2" s="8">
        <v>0.67500000000000004</v>
      </c>
      <c r="E2">
        <v>0.64</v>
      </c>
      <c r="G2">
        <f>(100*C2)/B2</f>
        <v>13.852941176470591</v>
      </c>
      <c r="H2">
        <f>(100*D2)/C2</f>
        <v>47.770700636942671</v>
      </c>
      <c r="J2" s="10"/>
      <c r="K2" s="18"/>
      <c r="L2" s="10"/>
      <c r="M2" s="18"/>
      <c r="N2" s="10"/>
      <c r="O2" s="18"/>
      <c r="P2" s="10"/>
      <c r="Q2" s="10"/>
    </row>
    <row r="3" spans="1:17" x14ac:dyDescent="0.25">
      <c r="A3" s="4" t="s">
        <v>13</v>
      </c>
      <c r="B3">
        <v>11</v>
      </c>
      <c r="C3" s="6">
        <v>1.512</v>
      </c>
      <c r="D3" s="8">
        <v>0.62</v>
      </c>
      <c r="E3">
        <v>0.75</v>
      </c>
      <c r="G3">
        <f t="shared" ref="G3:G19" si="0">(100*C3)/B3</f>
        <v>13.745454545454544</v>
      </c>
      <c r="H3">
        <f t="shared" ref="H3:H19" si="1">(100*D3)/C3</f>
        <v>41.005291005291006</v>
      </c>
      <c r="J3" s="10" t="s">
        <v>28</v>
      </c>
      <c r="K3" s="19">
        <v>26.855555555555554</v>
      </c>
      <c r="L3" s="10" t="s">
        <v>28</v>
      </c>
      <c r="M3" s="19">
        <v>5.081666666666667</v>
      </c>
      <c r="N3" s="10" t="s">
        <v>28</v>
      </c>
      <c r="O3" s="19">
        <v>1.8490555555555557</v>
      </c>
      <c r="P3" s="10" t="s">
        <v>28</v>
      </c>
      <c r="Q3" s="10">
        <v>2.3994444444444443</v>
      </c>
    </row>
    <row r="4" spans="1:17" x14ac:dyDescent="0.25">
      <c r="A4" s="4" t="s">
        <v>14</v>
      </c>
      <c r="B4">
        <v>12.5</v>
      </c>
      <c r="C4" s="6">
        <v>1.496</v>
      </c>
      <c r="D4" s="9">
        <v>0.55500000000000005</v>
      </c>
      <c r="E4">
        <v>1.1000000000000001</v>
      </c>
      <c r="G4">
        <f t="shared" si="0"/>
        <v>11.968</v>
      </c>
      <c r="H4">
        <f t="shared" si="1"/>
        <v>37.098930481283425</v>
      </c>
      <c r="J4" s="10" t="s">
        <v>29</v>
      </c>
      <c r="K4" s="19">
        <v>2.8434102490829027</v>
      </c>
      <c r="L4" s="10" t="s">
        <v>29</v>
      </c>
      <c r="M4" s="19">
        <v>0.536659596835664</v>
      </c>
      <c r="N4" s="10" t="s">
        <v>29</v>
      </c>
      <c r="O4" s="19">
        <v>0.16105934992272522</v>
      </c>
      <c r="P4" s="10" t="s">
        <v>29</v>
      </c>
      <c r="Q4" s="10">
        <v>0.28049381317635269</v>
      </c>
    </row>
    <row r="5" spans="1:17" x14ac:dyDescent="0.25">
      <c r="A5" s="4" t="s">
        <v>15</v>
      </c>
      <c r="B5">
        <v>14</v>
      </c>
      <c r="C5" s="6">
        <v>3.0259999999999998</v>
      </c>
      <c r="D5" s="9">
        <v>1.288</v>
      </c>
      <c r="E5">
        <v>1.4</v>
      </c>
      <c r="G5">
        <f t="shared" si="0"/>
        <v>21.61428571428571</v>
      </c>
      <c r="H5">
        <f t="shared" si="1"/>
        <v>42.564441506939858</v>
      </c>
      <c r="J5" s="10" t="s">
        <v>30</v>
      </c>
      <c r="K5" s="19">
        <v>24.9</v>
      </c>
      <c r="L5" s="10" t="s">
        <v>30</v>
      </c>
      <c r="M5" s="19">
        <v>4.7095000000000002</v>
      </c>
      <c r="N5" s="10" t="s">
        <v>30</v>
      </c>
      <c r="O5" s="19">
        <v>1.897</v>
      </c>
      <c r="P5" s="10" t="s">
        <v>30</v>
      </c>
      <c r="Q5" s="10">
        <v>2.0750000000000002</v>
      </c>
    </row>
    <row r="6" spans="1:17" x14ac:dyDescent="0.25">
      <c r="A6" s="4" t="s">
        <v>16</v>
      </c>
      <c r="B6">
        <v>15.8</v>
      </c>
      <c r="C6" s="6">
        <v>4.2789999999999999</v>
      </c>
      <c r="D6" s="9">
        <v>1.798</v>
      </c>
      <c r="E6">
        <v>1.6</v>
      </c>
      <c r="G6">
        <f t="shared" si="0"/>
        <v>27.082278481012654</v>
      </c>
      <c r="H6">
        <f t="shared" si="1"/>
        <v>42.019163355924285</v>
      </c>
      <c r="J6" s="10" t="s">
        <v>31</v>
      </c>
      <c r="K6" s="19">
        <v>38.4</v>
      </c>
      <c r="L6" s="10" t="s">
        <v>31</v>
      </c>
      <c r="M6" s="19" t="e">
        <v>#N/A</v>
      </c>
      <c r="N6" s="10" t="s">
        <v>31</v>
      </c>
      <c r="O6" s="19" t="e">
        <v>#N/A</v>
      </c>
      <c r="P6" s="10" t="s">
        <v>31</v>
      </c>
      <c r="Q6" s="10">
        <v>1.8</v>
      </c>
    </row>
    <row r="7" spans="1:17" x14ac:dyDescent="0.25">
      <c r="A7" s="4" t="s">
        <v>17</v>
      </c>
      <c r="B7">
        <v>17.5</v>
      </c>
      <c r="C7" s="6">
        <v>4.4470000000000001</v>
      </c>
      <c r="D7" s="9">
        <v>1.7430000000000001</v>
      </c>
      <c r="E7">
        <v>1.8</v>
      </c>
      <c r="G7">
        <f t="shared" si="0"/>
        <v>25.411428571428569</v>
      </c>
      <c r="H7">
        <f t="shared" si="1"/>
        <v>39.194962896334609</v>
      </c>
      <c r="J7" s="10" t="s">
        <v>32</v>
      </c>
      <c r="K7" s="19">
        <v>12.063568012931103</v>
      </c>
      <c r="L7" s="10" t="s">
        <v>32</v>
      </c>
      <c r="M7" s="19">
        <v>2.2768538406680197</v>
      </c>
      <c r="N7" s="10" t="s">
        <v>32</v>
      </c>
      <c r="O7" s="19">
        <v>0.68331695102313628</v>
      </c>
      <c r="P7" s="10" t="s">
        <v>32</v>
      </c>
      <c r="Q7" s="10">
        <v>1.1900344642672294</v>
      </c>
    </row>
    <row r="8" spans="1:17" x14ac:dyDescent="0.25">
      <c r="A8" s="1" t="s">
        <v>0</v>
      </c>
      <c r="B8" s="2">
        <v>21.1</v>
      </c>
      <c r="C8" s="6">
        <v>4.7549999999999999</v>
      </c>
      <c r="D8" s="9">
        <v>1.99</v>
      </c>
      <c r="E8">
        <v>2.1</v>
      </c>
      <c r="G8">
        <f t="shared" si="0"/>
        <v>22.535545023696681</v>
      </c>
      <c r="H8">
        <f t="shared" si="1"/>
        <v>41.850683491062043</v>
      </c>
      <c r="J8" s="10" t="s">
        <v>33</v>
      </c>
      <c r="K8" s="19">
        <v>145.5296732026145</v>
      </c>
      <c r="L8" s="10" t="s">
        <v>33</v>
      </c>
      <c r="M8" s="19">
        <v>5.1840634117647122</v>
      </c>
      <c r="N8" s="10" t="s">
        <v>33</v>
      </c>
      <c r="O8" s="19">
        <v>0.46692205555555522</v>
      </c>
      <c r="P8" s="10" t="s">
        <v>33</v>
      </c>
      <c r="Q8" s="10">
        <v>1.4161820261437919</v>
      </c>
    </row>
    <row r="9" spans="1:17" x14ac:dyDescent="0.25">
      <c r="A9" s="1" t="s">
        <v>1</v>
      </c>
      <c r="B9" s="2">
        <v>23.6</v>
      </c>
      <c r="C9" s="6">
        <v>4.8559999999999999</v>
      </c>
      <c r="D9" s="9">
        <v>1.968</v>
      </c>
      <c r="E9">
        <v>2.2000000000000002</v>
      </c>
      <c r="G9">
        <f t="shared" si="0"/>
        <v>20.576271186440675</v>
      </c>
      <c r="H9">
        <f t="shared" si="1"/>
        <v>40.527182866556842</v>
      </c>
      <c r="J9" s="10" t="s">
        <v>34</v>
      </c>
      <c r="K9" s="19">
        <v>-1.4842684109032369</v>
      </c>
      <c r="L9" s="10" t="s">
        <v>34</v>
      </c>
      <c r="M9" s="19">
        <v>-0.82339265153396068</v>
      </c>
      <c r="N9" s="10" t="s">
        <v>34</v>
      </c>
      <c r="O9" s="19">
        <v>-0.18001491547960979</v>
      </c>
      <c r="P9" s="10" t="s">
        <v>34</v>
      </c>
      <c r="Q9" s="10">
        <v>-1.0304316260387107</v>
      </c>
    </row>
    <row r="10" spans="1:17" x14ac:dyDescent="0.25">
      <c r="A10" s="1" t="s">
        <v>2</v>
      </c>
      <c r="B10" s="2">
        <v>28.8</v>
      </c>
      <c r="C10" s="6">
        <v>4.5830000000000002</v>
      </c>
      <c r="D10" s="9">
        <v>1.8260000000000001</v>
      </c>
      <c r="E10">
        <v>1.85</v>
      </c>
      <c r="G10">
        <f t="shared" si="0"/>
        <v>15.913194444444445</v>
      </c>
      <c r="H10">
        <f t="shared" si="1"/>
        <v>39.842897665284745</v>
      </c>
      <c r="J10" s="10" t="s">
        <v>35</v>
      </c>
      <c r="K10" s="19">
        <v>0.13536692939938155</v>
      </c>
      <c r="L10" s="10" t="s">
        <v>35</v>
      </c>
      <c r="M10" s="19">
        <v>-0.1678953235899931</v>
      </c>
      <c r="N10" s="10" t="s">
        <v>35</v>
      </c>
      <c r="O10" s="19">
        <v>-0.7332484912896241</v>
      </c>
      <c r="P10" s="10" t="s">
        <v>35</v>
      </c>
      <c r="Q10" s="10">
        <v>0.32811196837307149</v>
      </c>
    </row>
    <row r="11" spans="1:17" x14ac:dyDescent="0.25">
      <c r="A11" s="1" t="s">
        <v>3</v>
      </c>
      <c r="B11" s="2">
        <v>24.7</v>
      </c>
      <c r="C11" s="6">
        <v>4.4080000000000004</v>
      </c>
      <c r="D11" s="9">
        <v>1.8240000000000001</v>
      </c>
      <c r="E11">
        <v>1.8</v>
      </c>
      <c r="G11">
        <f t="shared" si="0"/>
        <v>17.846153846153847</v>
      </c>
      <c r="H11">
        <f t="shared" si="1"/>
        <v>41.379310344827587</v>
      </c>
      <c r="J11" s="10" t="s">
        <v>36</v>
      </c>
      <c r="K11" s="19">
        <v>34.400000000000006</v>
      </c>
      <c r="L11" s="10" t="s">
        <v>36</v>
      </c>
      <c r="M11" s="19">
        <v>7.3900000000000006</v>
      </c>
      <c r="N11" s="10" t="s">
        <v>36</v>
      </c>
      <c r="O11" s="19">
        <v>2.242</v>
      </c>
      <c r="P11" s="10" t="s">
        <v>36</v>
      </c>
      <c r="Q11" s="10">
        <v>3.86</v>
      </c>
    </row>
    <row r="12" spans="1:17" x14ac:dyDescent="0.25">
      <c r="A12" s="1" t="s">
        <v>4</v>
      </c>
      <c r="B12" s="2">
        <v>25.1</v>
      </c>
      <c r="C12" s="6">
        <v>4.6639999999999997</v>
      </c>
      <c r="D12" s="9">
        <v>1.7410000000000001</v>
      </c>
      <c r="E12">
        <v>2.0499999999999998</v>
      </c>
      <c r="G12">
        <f t="shared" si="0"/>
        <v>18.581673306772906</v>
      </c>
      <c r="H12">
        <f t="shared" si="1"/>
        <v>37.328473413379079</v>
      </c>
      <c r="J12" s="10" t="s">
        <v>37</v>
      </c>
      <c r="K12" s="19">
        <v>10.199999999999999</v>
      </c>
      <c r="L12" s="10" t="s">
        <v>37</v>
      </c>
      <c r="M12" s="19">
        <v>1.413</v>
      </c>
      <c r="N12" s="10" t="s">
        <v>37</v>
      </c>
      <c r="O12" s="19">
        <v>0.55500000000000005</v>
      </c>
      <c r="P12" s="10" t="s">
        <v>37</v>
      </c>
      <c r="Q12" s="10">
        <v>0.64</v>
      </c>
    </row>
    <row r="13" spans="1:17" x14ac:dyDescent="0.25">
      <c r="A13" s="1" t="s">
        <v>5</v>
      </c>
      <c r="B13" s="3">
        <v>31</v>
      </c>
      <c r="C13" s="6">
        <v>6.6079999999999997</v>
      </c>
      <c r="D13" s="9">
        <v>2.2210000000000001</v>
      </c>
      <c r="E13">
        <v>3</v>
      </c>
      <c r="G13">
        <f t="shared" si="0"/>
        <v>21.316129032258065</v>
      </c>
      <c r="H13">
        <f t="shared" si="1"/>
        <v>33.610774818401943</v>
      </c>
      <c r="J13" s="10" t="s">
        <v>38</v>
      </c>
      <c r="K13" s="19">
        <v>44.6</v>
      </c>
      <c r="L13" s="10" t="s">
        <v>38</v>
      </c>
      <c r="M13" s="19">
        <v>8.8030000000000008</v>
      </c>
      <c r="N13" s="10" t="s">
        <v>38</v>
      </c>
      <c r="O13" s="19">
        <v>2.7970000000000002</v>
      </c>
      <c r="P13" s="10" t="s">
        <v>38</v>
      </c>
      <c r="Q13" s="10">
        <v>4.5</v>
      </c>
    </row>
    <row r="14" spans="1:17" x14ac:dyDescent="0.25">
      <c r="A14" s="1" t="s">
        <v>6</v>
      </c>
      <c r="B14" s="2">
        <v>38.4</v>
      </c>
      <c r="C14" s="6">
        <v>7.0170000000000003</v>
      </c>
      <c r="D14" s="9">
        <v>2.464</v>
      </c>
      <c r="E14">
        <v>3.4</v>
      </c>
      <c r="G14">
        <f t="shared" si="0"/>
        <v>18.273437500000004</v>
      </c>
      <c r="H14">
        <f t="shared" si="1"/>
        <v>35.114721390907796</v>
      </c>
      <c r="J14" s="10" t="s">
        <v>39</v>
      </c>
      <c r="K14" s="19">
        <v>483.4</v>
      </c>
      <c r="L14" s="10" t="s">
        <v>39</v>
      </c>
      <c r="M14" s="19">
        <v>91.47</v>
      </c>
      <c r="N14" s="10" t="s">
        <v>39</v>
      </c>
      <c r="O14" s="19">
        <v>33.283000000000001</v>
      </c>
      <c r="P14" s="10" t="s">
        <v>39</v>
      </c>
      <c r="Q14" s="10">
        <v>43.19</v>
      </c>
    </row>
    <row r="15" spans="1:17" x14ac:dyDescent="0.25">
      <c r="A15" s="1" t="s">
        <v>7</v>
      </c>
      <c r="B15" s="2">
        <v>41.6</v>
      </c>
      <c r="C15" s="6">
        <v>7.5</v>
      </c>
      <c r="D15" s="9">
        <v>2.6179999999999999</v>
      </c>
      <c r="E15">
        <v>3.6</v>
      </c>
      <c r="G15">
        <f t="shared" si="0"/>
        <v>18.028846153846153</v>
      </c>
      <c r="H15">
        <f t="shared" si="1"/>
        <v>34.906666666666666</v>
      </c>
      <c r="J15" s="10" t="s">
        <v>40</v>
      </c>
      <c r="K15" s="19">
        <v>18</v>
      </c>
      <c r="L15" s="10" t="s">
        <v>40</v>
      </c>
      <c r="M15" s="19">
        <v>18</v>
      </c>
      <c r="N15" s="10" t="s">
        <v>40</v>
      </c>
      <c r="O15" s="19">
        <v>18</v>
      </c>
      <c r="P15" s="10" t="s">
        <v>40</v>
      </c>
      <c r="Q15" s="10">
        <v>18</v>
      </c>
    </row>
    <row r="16" spans="1:17" ht="15.75" thickBot="1" x14ac:dyDescent="0.3">
      <c r="A16" s="1" t="s">
        <v>8</v>
      </c>
      <c r="B16" s="2">
        <v>38.4</v>
      </c>
      <c r="C16" s="6">
        <v>6.4889999999999999</v>
      </c>
      <c r="D16" s="9">
        <v>2.2389999999999999</v>
      </c>
      <c r="E16">
        <v>3.2</v>
      </c>
      <c r="G16">
        <f t="shared" si="0"/>
        <v>16.8984375</v>
      </c>
      <c r="H16">
        <f t="shared" si="1"/>
        <v>34.504546155031591</v>
      </c>
      <c r="J16" s="11" t="s">
        <v>41</v>
      </c>
      <c r="K16" s="20">
        <v>5.99907123768602</v>
      </c>
      <c r="L16" s="11" t="s">
        <v>41</v>
      </c>
      <c r="M16" s="20">
        <v>1.1322527773976314</v>
      </c>
      <c r="N16" s="11" t="s">
        <v>41</v>
      </c>
      <c r="O16" s="20">
        <v>0.33980552542267289</v>
      </c>
      <c r="P16" s="11" t="s">
        <v>41</v>
      </c>
      <c r="Q16" s="11">
        <v>0.59179021652533703</v>
      </c>
    </row>
    <row r="17" spans="1:17" x14ac:dyDescent="0.25">
      <c r="A17" s="1" t="s">
        <v>9</v>
      </c>
      <c r="B17" s="2">
        <v>42.2</v>
      </c>
      <c r="C17" s="6">
        <v>8.0860000000000003</v>
      </c>
      <c r="D17" s="9">
        <v>2.68</v>
      </c>
      <c r="E17">
        <v>4.2</v>
      </c>
      <c r="G17">
        <f t="shared" si="0"/>
        <v>19.161137440758292</v>
      </c>
      <c r="H17">
        <f t="shared" si="1"/>
        <v>33.143705169428642</v>
      </c>
      <c r="J17" s="10" t="s">
        <v>42</v>
      </c>
      <c r="K17" s="21">
        <f>K7/K3</f>
        <v>0.44920195331559759</v>
      </c>
      <c r="M17" s="21">
        <f>M7/M3</f>
        <v>0.44805257605799004</v>
      </c>
      <c r="O17" s="21">
        <f>O7/O3</f>
        <v>0.36954917280342675</v>
      </c>
      <c r="Q17">
        <f>Q7/Q3</f>
        <v>0.4959624995788407</v>
      </c>
    </row>
    <row r="18" spans="1:17" x14ac:dyDescent="0.25">
      <c r="A18" s="1" t="s">
        <v>10</v>
      </c>
      <c r="B18" s="2">
        <v>44.6</v>
      </c>
      <c r="C18" s="6">
        <v>8.8030000000000008</v>
      </c>
      <c r="D18" s="9">
        <v>2.7970000000000002</v>
      </c>
      <c r="E18">
        <v>4.5</v>
      </c>
      <c r="G18">
        <f t="shared" si="0"/>
        <v>19.737668161434978</v>
      </c>
      <c r="H18">
        <f t="shared" si="1"/>
        <v>31.773259116210379</v>
      </c>
      <c r="J18" s="10" t="s">
        <v>43</v>
      </c>
      <c r="K18" s="22">
        <f>K3-K16</f>
        <v>20.856484317869533</v>
      </c>
      <c r="L18" s="7"/>
      <c r="M18" s="22">
        <f>M3-M16</f>
        <v>3.9494138892690356</v>
      </c>
      <c r="N18" s="7"/>
      <c r="O18" s="22">
        <f>O3-O16</f>
        <v>1.5092500301328828</v>
      </c>
      <c r="P18" s="7"/>
      <c r="Q18" s="7">
        <f>Q3-Q16</f>
        <v>1.8076542279191072</v>
      </c>
    </row>
    <row r="19" spans="1:17" x14ac:dyDescent="0.25">
      <c r="A19" s="1" t="s">
        <v>11</v>
      </c>
      <c r="B19" s="2">
        <v>42.9</v>
      </c>
      <c r="C19" s="6">
        <v>7.5279999999999996</v>
      </c>
      <c r="D19" s="9">
        <v>2.2360000000000002</v>
      </c>
      <c r="E19">
        <v>4</v>
      </c>
      <c r="G19">
        <f t="shared" si="0"/>
        <v>17.547785547785548</v>
      </c>
      <c r="H19">
        <f t="shared" si="1"/>
        <v>29.702444208289059</v>
      </c>
      <c r="J19" s="10" t="s">
        <v>44</v>
      </c>
      <c r="K19" s="22">
        <f>K3+K16</f>
        <v>32.854626793241572</v>
      </c>
      <c r="L19" s="7"/>
      <c r="M19" s="22">
        <f>M3+M16</f>
        <v>6.2139194440642989</v>
      </c>
      <c r="N19" s="7"/>
      <c r="O19" s="22">
        <f>O3+O16</f>
        <v>2.1888610809782287</v>
      </c>
      <c r="P19" s="7"/>
      <c r="Q19" s="7">
        <f>Q3+Q16</f>
        <v>2.9912346609697815</v>
      </c>
    </row>
    <row r="20" spans="1:17" x14ac:dyDescent="0.25">
      <c r="G20">
        <f>MEDIAN(G2:G19)</f>
        <v>18.427555403386457</v>
      </c>
      <c r="H20">
        <f>MEDIAN(H2:H19)</f>
        <v>38.261718154856844</v>
      </c>
    </row>
    <row r="21" spans="1:17" ht="15.75" x14ac:dyDescent="0.25">
      <c r="A21" s="5" t="s">
        <v>20</v>
      </c>
    </row>
    <row r="22" spans="1:17" x14ac:dyDescent="0.25">
      <c r="B22" s="2"/>
      <c r="H22">
        <f>MEDIAN(H2:H7)</f>
        <v>41.512227180607645</v>
      </c>
      <c r="J22" t="s">
        <v>45</v>
      </c>
    </row>
    <row r="23" spans="1:17" ht="15.75" thickBot="1" x14ac:dyDescent="0.3">
      <c r="A23" t="s">
        <v>21</v>
      </c>
    </row>
    <row r="24" spans="1:17" x14ac:dyDescent="0.25">
      <c r="A24" t="s">
        <v>24</v>
      </c>
      <c r="J24" s="13" t="s">
        <v>46</v>
      </c>
      <c r="K24" s="13"/>
    </row>
    <row r="25" spans="1:17" x14ac:dyDescent="0.25">
      <c r="A25" t="s">
        <v>27</v>
      </c>
      <c r="J25" s="10" t="s">
        <v>47</v>
      </c>
      <c r="K25" s="10">
        <v>0.96893944412798583</v>
      </c>
    </row>
    <row r="26" spans="1:17" x14ac:dyDescent="0.25">
      <c r="A26" t="s">
        <v>22</v>
      </c>
      <c r="J26" s="10" t="s">
        <v>48</v>
      </c>
      <c r="K26" s="10">
        <v>0.9388436463870502</v>
      </c>
    </row>
    <row r="27" spans="1:17" x14ac:dyDescent="0.25">
      <c r="A27" t="s">
        <v>25</v>
      </c>
      <c r="J27" s="10" t="s">
        <v>49</v>
      </c>
      <c r="K27" s="10">
        <v>0.92573871346998959</v>
      </c>
    </row>
    <row r="28" spans="1:17" x14ac:dyDescent="0.25">
      <c r="J28" s="10" t="s">
        <v>29</v>
      </c>
      <c r="K28" s="10">
        <v>3.2874337651606202</v>
      </c>
    </row>
    <row r="29" spans="1:17" ht="15.75" thickBot="1" x14ac:dyDescent="0.3">
      <c r="J29" s="11" t="s">
        <v>50</v>
      </c>
      <c r="K29" s="11">
        <v>18</v>
      </c>
    </row>
    <row r="31" spans="1:17" ht="15.75" thickBot="1" x14ac:dyDescent="0.3">
      <c r="J31" t="s">
        <v>51</v>
      </c>
    </row>
    <row r="32" spans="1:17" x14ac:dyDescent="0.25">
      <c r="J32" s="12"/>
      <c r="K32" s="12" t="s">
        <v>56</v>
      </c>
      <c r="L32" s="12" t="s">
        <v>57</v>
      </c>
      <c r="M32" s="12" t="s">
        <v>58</v>
      </c>
      <c r="N32" s="12" t="s">
        <v>59</v>
      </c>
      <c r="O32" s="12" t="s">
        <v>60</v>
      </c>
    </row>
    <row r="33" spans="10:15" x14ac:dyDescent="0.25">
      <c r="J33" s="10" t="s">
        <v>52</v>
      </c>
      <c r="K33" s="10">
        <v>3</v>
      </c>
      <c r="L33" s="10">
        <v>2322.7033537999905</v>
      </c>
      <c r="M33" s="10">
        <v>774.23445126666354</v>
      </c>
      <c r="N33" s="10">
        <v>71.6404770881975</v>
      </c>
      <c r="O33" s="10">
        <v>9.7805784167529796E-9</v>
      </c>
    </row>
    <row r="34" spans="10:15" x14ac:dyDescent="0.25">
      <c r="J34" s="10" t="s">
        <v>53</v>
      </c>
      <c r="K34" s="10">
        <v>14</v>
      </c>
      <c r="L34" s="10">
        <v>151.30109064445386</v>
      </c>
      <c r="M34" s="10">
        <v>10.807220760318133</v>
      </c>
      <c r="N34" s="10"/>
      <c r="O34" s="10"/>
    </row>
    <row r="35" spans="10:15" ht="15.75" thickBot="1" x14ac:dyDescent="0.3">
      <c r="J35" s="11" t="s">
        <v>54</v>
      </c>
      <c r="K35" s="11">
        <v>17</v>
      </c>
      <c r="L35" s="11">
        <v>2474.0044444444443</v>
      </c>
      <c r="M35" s="11"/>
      <c r="N35" s="11"/>
      <c r="O35" s="11"/>
    </row>
    <row r="36" spans="10:15" ht="15.75" thickBot="1" x14ac:dyDescent="0.3"/>
    <row r="37" spans="10:15" x14ac:dyDescent="0.25">
      <c r="J37" s="12"/>
      <c r="K37" s="12" t="s">
        <v>61</v>
      </c>
      <c r="L37" s="12" t="s">
        <v>29</v>
      </c>
      <c r="M37" s="12" t="s">
        <v>62</v>
      </c>
      <c r="N37" s="12" t="s">
        <v>63</v>
      </c>
    </row>
    <row r="38" spans="10:15" x14ac:dyDescent="0.25">
      <c r="J38" s="10" t="s">
        <v>55</v>
      </c>
      <c r="K38" s="10">
        <v>3.4895683242447646</v>
      </c>
      <c r="L38" s="10">
        <v>3.0770286335082608</v>
      </c>
      <c r="M38" s="10">
        <v>1.1340708000712194</v>
      </c>
      <c r="N38" s="10">
        <v>0.27581100021599486</v>
      </c>
    </row>
    <row r="39" spans="10:15" x14ac:dyDescent="0.25">
      <c r="J39" s="10" t="s">
        <v>19</v>
      </c>
      <c r="K39" s="10">
        <v>2.8273167896113018</v>
      </c>
      <c r="L39" s="10">
        <v>5.2444538037571071</v>
      </c>
      <c r="M39" s="10">
        <v>0.53910605287166846</v>
      </c>
      <c r="N39" s="10">
        <v>0.59828297042078704</v>
      </c>
    </row>
    <row r="40" spans="10:15" x14ac:dyDescent="0.25">
      <c r="J40" s="10" t="s">
        <v>23</v>
      </c>
      <c r="K40" s="10">
        <v>-3.1125032311437639</v>
      </c>
      <c r="L40" s="10">
        <v>8.8361470757958127</v>
      </c>
      <c r="M40" s="10">
        <v>-0.35224665280522638</v>
      </c>
      <c r="N40" s="10">
        <v>0.72989946484250834</v>
      </c>
    </row>
    <row r="41" spans="10:15" ht="15.75" thickBot="1" x14ac:dyDescent="0.3">
      <c r="J41" s="11" t="s">
        <v>26</v>
      </c>
      <c r="K41" s="11">
        <v>6.148797139615799</v>
      </c>
      <c r="L41" s="11">
        <v>5.6777215370812497</v>
      </c>
      <c r="M41" s="11">
        <v>1.0829691275730855</v>
      </c>
      <c r="N41" s="11">
        <v>0.29712219902992598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E1031A4CAB2D4CB1C32F4AA4688101" ma:contentTypeVersion="5" ma:contentTypeDescription="Create a new document." ma:contentTypeScope="" ma:versionID="c6c6d32dace4948a30cd6d27949f4a59">
  <xsd:schema xmlns:xsd="http://www.w3.org/2001/XMLSchema" xmlns:xs="http://www.w3.org/2001/XMLSchema" xmlns:p="http://schemas.microsoft.com/office/2006/metadata/properties" xmlns:ns2="8164decf-a0fe-4f0d-b989-436b16887516" targetNamespace="http://schemas.microsoft.com/office/2006/metadata/properties" ma:root="true" ma:fieldsID="3bb07cb2fb6c969d0c2a51e6310c19bc" ns2:_="">
    <xsd:import namespace="8164decf-a0fe-4f0d-b989-436b16887516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64decf-a0fe-4f0d-b989-436b16887516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8164decf-a0fe-4f0d-b989-436b16887516" xsi:nil="true"/>
  </documentManagement>
</p:properties>
</file>

<file path=customXml/itemProps1.xml><?xml version="1.0" encoding="utf-8"?>
<ds:datastoreItem xmlns:ds="http://schemas.openxmlformats.org/officeDocument/2006/customXml" ds:itemID="{93931539-CC4F-4CAF-BFCA-BCD18839C492}"/>
</file>

<file path=customXml/itemProps2.xml><?xml version="1.0" encoding="utf-8"?>
<ds:datastoreItem xmlns:ds="http://schemas.openxmlformats.org/officeDocument/2006/customXml" ds:itemID="{B1569134-5CF6-436C-A388-10A23D5F104D}"/>
</file>

<file path=customXml/itemProps3.xml><?xml version="1.0" encoding="utf-8"?>
<ds:datastoreItem xmlns:ds="http://schemas.openxmlformats.org/officeDocument/2006/customXml" ds:itemID="{3F1BED0D-83B0-48D7-A0CB-5090C1C8BF2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Cojocaru Eugeniu</dc:creator>
  <cp:lastModifiedBy>EUGENIU COJOCARU</cp:lastModifiedBy>
  <dcterms:created xsi:type="dcterms:W3CDTF">2015-06-05T18:17:20Z</dcterms:created>
  <dcterms:modified xsi:type="dcterms:W3CDTF">2025-01-10T18:35:54Z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0x01010005E1031A4CAB2D4CB1C32F4AA4688101</vt:lpwstr>
  </property>
</Properties>
</file>